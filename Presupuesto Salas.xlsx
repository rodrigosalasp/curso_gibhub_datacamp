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CAFCC44-1399-4BBF-B61F-6B5B1621AE72/Library/Application Support/Drafts/"/>
    </mc:Choice>
  </mc:AlternateContent>
  <xr:revisionPtr revIDLastSave="0" documentId="8_{135E9001-D3A0-BE49-A290-B6F542B4B7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4" i="1"/>
  <c r="B23" i="1"/>
  <c r="E16" i="1"/>
  <c r="G16" i="1"/>
  <c r="E15" i="1"/>
  <c r="G15" i="1"/>
  <c r="E14" i="1"/>
  <c r="G14" i="1"/>
  <c r="E13" i="1"/>
  <c r="G13" i="1"/>
  <c r="E12" i="1"/>
  <c r="G12" i="1"/>
  <c r="E11" i="1"/>
  <c r="G11" i="1"/>
  <c r="D17" i="1"/>
  <c r="C17" i="1"/>
  <c r="B17" i="1"/>
  <c r="E17" i="1"/>
  <c r="E6" i="1"/>
  <c r="E5" i="1"/>
  <c r="E4" i="1"/>
  <c r="E3" i="1"/>
  <c r="E2" i="1"/>
  <c r="B7" i="1"/>
  <c r="C7" i="1"/>
  <c r="D7" i="1"/>
  <c r="E7" i="1"/>
</calcChain>
</file>

<file path=xl/sharedStrings.xml><?xml version="1.0" encoding="utf-8"?>
<sst xmlns="http://schemas.openxmlformats.org/spreadsheetml/2006/main" count="28" uniqueCount="19">
  <si>
    <t>Claudio</t>
  </si>
  <si>
    <t>Diego</t>
  </si>
  <si>
    <t>Rodrigo</t>
  </si>
  <si>
    <t>Karelys</t>
  </si>
  <si>
    <t>Alejandra</t>
  </si>
  <si>
    <t>Total</t>
  </si>
  <si>
    <t>Inf 1</t>
  </si>
  <si>
    <t>Inf 2</t>
  </si>
  <si>
    <t>Inf 3</t>
  </si>
  <si>
    <t>Asistente CESC</t>
  </si>
  <si>
    <t>Profesional</t>
  </si>
  <si>
    <t>Total horas</t>
  </si>
  <si>
    <t>Presupuesto</t>
  </si>
  <si>
    <t>%overheads</t>
  </si>
  <si>
    <t>Presupuesto disponible</t>
  </si>
  <si>
    <t>Total en US$</t>
  </si>
  <si>
    <t>Valor hora e US$</t>
  </si>
  <si>
    <t>Remuneraciones</t>
  </si>
  <si>
    <t>Saldo gastos diversos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</si>
</sst>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0" formatCode="_-* #,##0_-;\-* #,##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2" fontId="0" fillId="0" borderId="1" xfId="0" applyNumberFormat="1" applyBorder="1"/>
    <xf numFmtId="4" fontId="0" fillId="0" borderId="1" xfId="0" applyNumberFormat="1" applyBorder="1"/>
    <xf numFmtId="9" fontId="0" fillId="0" borderId="0" xfId="0" applyNumberFormat="1"/>
    <xf numFmtId="4" fontId="0" fillId="0" borderId="2" xfId="0" applyNumberFormat="1" applyBorder="1"/>
    <xf numFmtId="4" fontId="0" fillId="0" borderId="0" xfId="0" applyNumberFormat="1"/>
    <xf numFmtId="20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064F-685B-534A-B3AC-D726022AE6B1}">
  <dimension ref="A1:G24"/>
  <sheetViews>
    <sheetView tabSelected="1" zoomScaleNormal="150" zoomScaleSheetLayoutView="100" workbookViewId="0">
      <selection activeCell="B23" sqref="B23"/>
    </sheetView>
  </sheetViews>
  <sheetFormatPr defaultRowHeight="15" x14ac:dyDescent="0.2"/>
  <cols>
    <col min="1" max="1" width="20.04296875" customWidth="1"/>
    <col min="2" max="4" width="11.1640625" bestFit="1" customWidth="1"/>
    <col min="5" max="5" width="12.23828125" bestFit="1" customWidth="1"/>
    <col min="6" max="7" width="13.5859375" customWidth="1"/>
  </cols>
  <sheetData>
    <row r="1" spans="1:7" x14ac:dyDescent="0.2">
      <c r="B1" t="s">
        <v>6</v>
      </c>
      <c r="C1" t="s">
        <v>7</v>
      </c>
      <c r="D1" t="s">
        <v>8</v>
      </c>
    </row>
    <row r="2" spans="1:7" x14ac:dyDescent="0.2">
      <c r="A2" t="s">
        <v>0</v>
      </c>
      <c r="B2">
        <v>1408</v>
      </c>
      <c r="C2">
        <v>704</v>
      </c>
      <c r="D2">
        <v>1408</v>
      </c>
      <c r="E2">
        <f>SUM(B2:D2)</f>
        <v>3520</v>
      </c>
    </row>
    <row r="3" spans="1:7" x14ac:dyDescent="0.2">
      <c r="A3" t="s">
        <v>1</v>
      </c>
      <c r="B3">
        <v>2240</v>
      </c>
      <c r="C3">
        <v>2240</v>
      </c>
      <c r="D3">
        <v>2240</v>
      </c>
      <c r="E3">
        <f>SUM(B3:D3)</f>
        <v>6720</v>
      </c>
    </row>
    <row r="4" spans="1:7" x14ac:dyDescent="0.2">
      <c r="A4" t="s">
        <v>2</v>
      </c>
      <c r="B4">
        <v>2352</v>
      </c>
      <c r="C4">
        <v>2352</v>
      </c>
      <c r="D4">
        <v>2352</v>
      </c>
      <c r="E4">
        <f>SUM(B4:D4)</f>
        <v>7056</v>
      </c>
    </row>
    <row r="5" spans="1:7" x14ac:dyDescent="0.2">
      <c r="A5" t="s">
        <v>3</v>
      </c>
      <c r="B5">
        <v>1024</v>
      </c>
      <c r="C5">
        <v>2560</v>
      </c>
      <c r="D5">
        <v>2560</v>
      </c>
      <c r="E5">
        <f>SUM(B5:D5)</f>
        <v>6144</v>
      </c>
    </row>
    <row r="6" spans="1:7" x14ac:dyDescent="0.2">
      <c r="A6" t="s">
        <v>4</v>
      </c>
      <c r="B6">
        <v>1024</v>
      </c>
      <c r="C6">
        <v>1024</v>
      </c>
      <c r="D6">
        <v>1024</v>
      </c>
      <c r="E6">
        <f>SUM(B6:D6)</f>
        <v>3072</v>
      </c>
    </row>
    <row r="7" spans="1:7" x14ac:dyDescent="0.2">
      <c r="A7" t="s">
        <v>5</v>
      </c>
      <c r="B7">
        <f>SUM(B2:B6)</f>
        <v>8048</v>
      </c>
      <c r="C7">
        <f>SUM(C2:C6)</f>
        <v>8880</v>
      </c>
      <c r="D7">
        <f>SUM(D2:D6)</f>
        <v>9584</v>
      </c>
      <c r="E7">
        <f>SUM(B7:D7)</f>
        <v>26512</v>
      </c>
    </row>
    <row r="10" spans="1:7" x14ac:dyDescent="0.2">
      <c r="A10" s="3" t="s">
        <v>10</v>
      </c>
      <c r="B10" s="3" t="s">
        <v>6</v>
      </c>
      <c r="C10" s="3" t="s">
        <v>7</v>
      </c>
      <c r="D10" s="3" t="s">
        <v>8</v>
      </c>
      <c r="E10" s="5" t="s">
        <v>15</v>
      </c>
      <c r="F10" s="1" t="s">
        <v>16</v>
      </c>
      <c r="G10" s="1" t="s">
        <v>11</v>
      </c>
    </row>
    <row r="11" spans="1:7" x14ac:dyDescent="0.2">
      <c r="A11" s="3" t="s">
        <v>0</v>
      </c>
      <c r="B11" s="3">
        <v>700</v>
      </c>
      <c r="C11" s="3">
        <v>700</v>
      </c>
      <c r="D11" s="3">
        <v>700</v>
      </c>
      <c r="E11" s="5">
        <f>SUM(B11:D11)</f>
        <v>2100</v>
      </c>
      <c r="F11" s="1">
        <v>65</v>
      </c>
      <c r="G11" s="2">
        <f>+E11/F11</f>
        <v>32.307692307692307</v>
      </c>
    </row>
    <row r="12" spans="1:7" x14ac:dyDescent="0.2">
      <c r="A12" s="3" t="s">
        <v>1</v>
      </c>
      <c r="B12" s="3">
        <v>2200</v>
      </c>
      <c r="C12" s="3">
        <v>2200</v>
      </c>
      <c r="D12" s="3">
        <v>2200</v>
      </c>
      <c r="E12" s="5">
        <f>SUM(B12:D12)</f>
        <v>6600</v>
      </c>
      <c r="F12" s="1">
        <v>55</v>
      </c>
      <c r="G12" s="2">
        <f>+E12/F12</f>
        <v>120</v>
      </c>
    </row>
    <row r="13" spans="1:7" x14ac:dyDescent="0.2">
      <c r="A13" s="3" t="s">
        <v>2</v>
      </c>
      <c r="B13" s="3">
        <v>3000</v>
      </c>
      <c r="C13" s="3">
        <v>3000</v>
      </c>
      <c r="D13" s="3">
        <v>3000</v>
      </c>
      <c r="E13" s="5">
        <f>SUM(B13:D13)</f>
        <v>9000</v>
      </c>
      <c r="F13" s="1">
        <v>65</v>
      </c>
      <c r="G13" s="2">
        <f>+E13/F13</f>
        <v>138.46153846153845</v>
      </c>
    </row>
    <row r="14" spans="1:7" x14ac:dyDescent="0.2">
      <c r="A14" s="3" t="s">
        <v>3</v>
      </c>
      <c r="B14" s="3">
        <v>1000</v>
      </c>
      <c r="C14" s="3">
        <v>2500</v>
      </c>
      <c r="D14" s="3">
        <v>2500</v>
      </c>
      <c r="E14" s="5">
        <f>SUM(B14:D14)</f>
        <v>6000</v>
      </c>
      <c r="F14" s="1">
        <v>45</v>
      </c>
      <c r="G14" s="2">
        <f>+E14/F14</f>
        <v>133.33333333333334</v>
      </c>
    </row>
    <row r="15" spans="1:7" x14ac:dyDescent="0.2">
      <c r="A15" s="3" t="s">
        <v>4</v>
      </c>
      <c r="B15" s="3">
        <v>500</v>
      </c>
      <c r="C15" s="3">
        <v>500</v>
      </c>
      <c r="D15" s="3">
        <v>500</v>
      </c>
      <c r="E15" s="5">
        <f>SUM(B15:D15)</f>
        <v>1500</v>
      </c>
      <c r="F15" s="1">
        <v>55</v>
      </c>
      <c r="G15" s="2">
        <f>+E15/F15</f>
        <v>27.272727272727273</v>
      </c>
    </row>
    <row r="16" spans="1:7" x14ac:dyDescent="0.2">
      <c r="A16" s="3" t="s">
        <v>9</v>
      </c>
      <c r="B16" s="3">
        <v>500</v>
      </c>
      <c r="C16" s="3">
        <v>500</v>
      </c>
      <c r="D16" s="3">
        <v>500</v>
      </c>
      <c r="E16" s="5">
        <f>SUM(B16:D16)</f>
        <v>1500</v>
      </c>
      <c r="F16" s="1">
        <v>20</v>
      </c>
      <c r="G16" s="2">
        <f>+E16/F16</f>
        <v>75</v>
      </c>
    </row>
    <row r="17" spans="1:5" x14ac:dyDescent="0.2">
      <c r="A17" s="3" t="s">
        <v>5</v>
      </c>
      <c r="B17" s="3">
        <f>SUM(B11:B16)</f>
        <v>7900</v>
      </c>
      <c r="C17" s="3">
        <f>SUM(C11:C16)</f>
        <v>9400</v>
      </c>
      <c r="D17" s="3">
        <f>SUM(D11:D16)</f>
        <v>9400</v>
      </c>
      <c r="E17" s="3">
        <f>SUM(B17:D17)</f>
        <v>26700</v>
      </c>
    </row>
    <row r="20" spans="1:5" x14ac:dyDescent="0.2">
      <c r="A20" t="s">
        <v>12</v>
      </c>
      <c r="B20" s="7">
        <v>38000</v>
      </c>
    </row>
    <row r="21" spans="1:5" x14ac:dyDescent="0.2">
      <c r="A21" t="s">
        <v>13</v>
      </c>
      <c r="B21" s="4">
        <v>0.28000000000000003</v>
      </c>
    </row>
    <row r="22" spans="1:5" x14ac:dyDescent="0.2">
      <c r="A22" t="s">
        <v>14</v>
      </c>
      <c r="B22" s="7">
        <f>+B20*(1-B21)</f>
        <v>27360</v>
      </c>
    </row>
    <row r="23" spans="1:5" x14ac:dyDescent="0.2">
      <c r="A23" t="s">
        <v>17</v>
      </c>
      <c r="B23" s="7">
        <f>+E17</f>
        <v>26700</v>
      </c>
    </row>
    <row r="24" spans="1:5" x14ac:dyDescent="0.2">
      <c r="A24" t="s">
        <v>18</v>
      </c>
      <c r="B24" s="6">
        <f>+B22-B23</f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Salas</dc:creator>
  <dcterms:created xsi:type="dcterms:W3CDTF">2024-05-14T22:37:57Z</dcterms:created>
</cp:coreProperties>
</file>